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ption_Bas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<sst xmlns="http://schemas.openxmlformats.org/spreadsheetml/2006/main" count="197" uniqueCount="43">
  <si>
    <t xml:space="preserve">DATE_DEBUT</t>
  </si>
  <si>
    <t xml:space="preserve">DATE_FIN</t>
  </si>
  <si>
    <t xml:space="preserve">P_SOUSCRITE</t>
  </si>
  <si>
    <t xml:space="preserve">PART_FIXE_TTC_MOIS</t>
  </si>
  <si>
    <t xml:space="preserve">PART_FIXE_TTC</t>
  </si>
  <si>
    <t xml:space="preserve">PART_VARIABLE_TTC</t>
  </si>
  <si>
    <t xml:space="preserve">01/08/2015</t>
  </si>
  <si>
    <t xml:space="preserve">31/07/2016</t>
  </si>
  <si>
    <t xml:space="preserve">01/08/2016</t>
  </si>
  <si>
    <t xml:space="preserve">31/07/2017</t>
  </si>
  <si>
    <t xml:space="preserve">01/08/2017</t>
  </si>
  <si>
    <t xml:space="preserve">31/01/2018</t>
  </si>
  <si>
    <t xml:space="preserve">01/02/2018</t>
  </si>
  <si>
    <t xml:space="preserve">31/07/2018</t>
  </si>
  <si>
    <t xml:space="preserve">01/08/2018</t>
  </si>
  <si>
    <t xml:space="preserve">31/05/2019</t>
  </si>
  <si>
    <t xml:space="preserve">01/06/2019</t>
  </si>
  <si>
    <t xml:space="preserve">31/07/2019</t>
  </si>
  <si>
    <t xml:space="preserve">01/08/2019</t>
  </si>
  <si>
    <t xml:space="preserve">31/01/2020</t>
  </si>
  <si>
    <t xml:space="preserve">01/02/2020</t>
  </si>
  <si>
    <t xml:space="preserve">31/07/2020</t>
  </si>
  <si>
    <t xml:space="preserve">01/08/2020</t>
  </si>
  <si>
    <t xml:space="preserve">31/01/2021</t>
  </si>
  <si>
    <t xml:space="preserve">01/02/2021</t>
  </si>
  <si>
    <t xml:space="preserve">31/07/2021</t>
  </si>
  <si>
    <t xml:space="preserve">01/08/2021</t>
  </si>
  <si>
    <t xml:space="preserve">31/01/2022</t>
  </si>
  <si>
    <t xml:space="preserve">01/02/2022</t>
  </si>
  <si>
    <t xml:space="preserve">31/07/2022</t>
  </si>
  <si>
    <t xml:space="preserve">01/08/2022</t>
  </si>
  <si>
    <t xml:space="preserve">31/01/2023</t>
  </si>
  <si>
    <t xml:space="preserve">01/02/2023</t>
  </si>
  <si>
    <t xml:space="preserve">31/07/2023</t>
  </si>
  <si>
    <t xml:space="preserve">01/08/2023</t>
  </si>
  <si>
    <t xml:space="preserve">31/01/2024</t>
  </si>
  <si>
    <t xml:space="preserve">01/02/2024</t>
  </si>
  <si>
    <t xml:space="preserve">31/01/2025</t>
  </si>
  <si>
    <t xml:space="preserve">01/02/2025</t>
  </si>
  <si>
    <t xml:space="preserve">31/07/2025</t>
  </si>
  <si>
    <t xml:space="preserve">01/08/2025</t>
  </si>
  <si>
    <t xml:space="preserve">31/01/2026</t>
  </si>
  <si>
    <t xml:space="preserve">01/02/2026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</si>
</sst>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1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pane xSplit="1" ySplit="1" topLeftCell="B77" activePane="bottomRight" state="frozen"/>
      <selection pane="topLeft" activeCell="A1" activeCellId="0" sqref="A1"/>
      <selection pane="topRight" activeCell="B1" activeCellId="0" sqref="B1"/>
      <selection pane="bottomLeft" activeCell="A77" activeCellId="0" sqref="A77"/>
      <selection pane="bottomRight" activeCell="F94" activeCellId="0" sqref="F94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3.27"/>
    <col collapsed="false" customWidth="true" hidden="false" outlineLevel="0" max="2" min="2" style="1" width="10.65"/>
    <col collapsed="false" customWidth="true" hidden="false" outlineLevel="0" max="3" min="3" style="1" width="14.03"/>
    <col collapsed="false" customWidth="true" hidden="false" outlineLevel="0" max="4" min="4" style="1" width="14.62"/>
    <col collapsed="false" customWidth="true" hidden="false" outlineLevel="0" max="5" min="5" style="1" width="13.41"/>
    <col collapsed="false" customWidth="true" hidden="false" outlineLevel="0" max="6" min="6" style="1" width="20.45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2.8" hidden="false" customHeight="false" outlineLevel="0" collapsed="false">
      <c r="A2" s="2" t="s">
        <v>6</v>
      </c>
      <c r="B2" s="2" t="s">
        <v>7</v>
      </c>
      <c r="C2" s="1" t="n">
        <v>3</v>
      </c>
      <c r="E2" s="1" t="n">
        <f aca="false">12*4.54</f>
        <v>54.48</v>
      </c>
      <c r="F2" s="1" t="n">
        <v>0.1503</v>
      </c>
    </row>
    <row r="3" customFormat="false" ht="12.8" hidden="false" customHeight="false" outlineLevel="0" collapsed="false">
      <c r="A3" s="2" t="s">
        <v>6</v>
      </c>
      <c r="B3" s="2" t="s">
        <v>7</v>
      </c>
      <c r="C3" s="1" t="n">
        <v>6</v>
      </c>
      <c r="E3" s="1" t="n">
        <f aca="false">12*7.37</f>
        <v>88.44</v>
      </c>
      <c r="F3" s="1" t="n">
        <v>0.1503</v>
      </c>
    </row>
    <row r="4" customFormat="false" ht="12.8" hidden="false" customHeight="false" outlineLevel="0" collapsed="false">
      <c r="A4" s="2" t="s">
        <v>6</v>
      </c>
      <c r="B4" s="2" t="s">
        <v>7</v>
      </c>
      <c r="C4" s="1" t="n">
        <v>9</v>
      </c>
      <c r="E4" s="1" t="n">
        <f aca="false">12*9.77</f>
        <v>117.24</v>
      </c>
      <c r="F4" s="1" t="n">
        <v>0.1503</v>
      </c>
    </row>
    <row r="5" customFormat="false" ht="12.8" hidden="false" customHeight="false" outlineLevel="0" collapsed="false">
      <c r="A5" s="2" t="s">
        <v>6</v>
      </c>
      <c r="B5" s="2" t="s">
        <v>7</v>
      </c>
      <c r="C5" s="1" t="n">
        <v>12</v>
      </c>
      <c r="E5" s="1" t="n">
        <f aca="false">12*15.01</f>
        <v>180.12</v>
      </c>
      <c r="F5" s="1" t="n">
        <v>0.1503</v>
      </c>
    </row>
    <row r="6" customFormat="false" ht="12.8" hidden="false" customHeight="false" outlineLevel="0" collapsed="false">
      <c r="A6" s="2" t="s">
        <v>6</v>
      </c>
      <c r="B6" s="2" t="s">
        <v>7</v>
      </c>
      <c r="C6" s="1" t="n">
        <v>15</v>
      </c>
      <c r="E6" s="1" t="n">
        <f aca="false">12*17.21</f>
        <v>206.52</v>
      </c>
      <c r="F6" s="1" t="n">
        <v>0.1503</v>
      </c>
    </row>
    <row r="7" customFormat="false" ht="12.8" hidden="false" customHeight="false" outlineLevel="0" collapsed="false">
      <c r="A7" s="2" t="s">
        <v>8</v>
      </c>
      <c r="B7" s="2" t="s">
        <v>9</v>
      </c>
      <c r="C7" s="1" t="n">
        <v>3</v>
      </c>
      <c r="F7" s="1" t="n">
        <v>0.1503</v>
      </c>
    </row>
    <row r="8" customFormat="false" ht="12.8" hidden="false" customHeight="false" outlineLevel="0" collapsed="false">
      <c r="A8" s="2" t="s">
        <v>8</v>
      </c>
      <c r="B8" s="2" t="s">
        <v>9</v>
      </c>
      <c r="C8" s="1" t="n">
        <v>6</v>
      </c>
      <c r="F8" s="1" t="n">
        <v>0.1503</v>
      </c>
    </row>
    <row r="9" customFormat="false" ht="12.8" hidden="false" customHeight="false" outlineLevel="0" collapsed="false">
      <c r="A9" s="2" t="s">
        <v>8</v>
      </c>
      <c r="B9" s="2" t="s">
        <v>9</v>
      </c>
      <c r="C9" s="1" t="n">
        <v>9</v>
      </c>
      <c r="F9" s="1" t="n">
        <v>0.1503</v>
      </c>
    </row>
    <row r="10" customFormat="false" ht="12.8" hidden="false" customHeight="false" outlineLevel="0" collapsed="false">
      <c r="A10" s="2" t="s">
        <v>8</v>
      </c>
      <c r="B10" s="2" t="s">
        <v>9</v>
      </c>
      <c r="C10" s="1" t="n">
        <v>12</v>
      </c>
      <c r="F10" s="1" t="n">
        <v>0.1503</v>
      </c>
    </row>
    <row r="11" customFormat="false" ht="12.8" hidden="false" customHeight="false" outlineLevel="0" collapsed="false">
      <c r="A11" s="2" t="s">
        <v>8</v>
      </c>
      <c r="B11" s="2" t="s">
        <v>9</v>
      </c>
      <c r="C11" s="1" t="n">
        <v>15</v>
      </c>
      <c r="F11" s="1" t="n">
        <v>0.1503</v>
      </c>
    </row>
    <row r="12" customFormat="false" ht="12.8" hidden="false" customHeight="false" outlineLevel="0" collapsed="false">
      <c r="A12" s="2" t="s">
        <v>10</v>
      </c>
      <c r="B12" s="2" t="s">
        <v>11</v>
      </c>
      <c r="C12" s="1" t="n">
        <v>3</v>
      </c>
      <c r="F12" s="1" t="n">
        <v>0.1546</v>
      </c>
    </row>
    <row r="13" customFormat="false" ht="12.8" hidden="false" customHeight="false" outlineLevel="0" collapsed="false">
      <c r="A13" s="2" t="s">
        <v>10</v>
      </c>
      <c r="B13" s="2" t="s">
        <v>11</v>
      </c>
      <c r="C13" s="1" t="n">
        <v>6</v>
      </c>
      <c r="F13" s="1" t="n">
        <v>0.1466</v>
      </c>
    </row>
    <row r="14" customFormat="false" ht="12.8" hidden="false" customHeight="false" outlineLevel="0" collapsed="false">
      <c r="A14" s="2" t="s">
        <v>10</v>
      </c>
      <c r="B14" s="2" t="s">
        <v>11</v>
      </c>
      <c r="C14" s="1" t="n">
        <v>9</v>
      </c>
      <c r="F14" s="1" t="n">
        <v>0.1483</v>
      </c>
    </row>
    <row r="15" customFormat="false" ht="12.8" hidden="false" customHeight="false" outlineLevel="0" collapsed="false">
      <c r="A15" s="2" t="s">
        <v>10</v>
      </c>
      <c r="B15" s="2" t="s">
        <v>11</v>
      </c>
      <c r="C15" s="1" t="n">
        <v>12</v>
      </c>
      <c r="F15" s="1" t="n">
        <v>0.1483</v>
      </c>
    </row>
    <row r="16" customFormat="false" ht="12.8" hidden="false" customHeight="false" outlineLevel="0" collapsed="false">
      <c r="A16" s="2" t="s">
        <v>10</v>
      </c>
      <c r="B16" s="2" t="s">
        <v>11</v>
      </c>
      <c r="C16" s="1" t="n">
        <v>15</v>
      </c>
      <c r="F16" s="1" t="n">
        <v>0.1483</v>
      </c>
    </row>
    <row r="17" customFormat="false" ht="12.8" hidden="false" customHeight="false" outlineLevel="0" collapsed="false">
      <c r="A17" s="2" t="s">
        <v>12</v>
      </c>
      <c r="B17" s="2" t="s">
        <v>13</v>
      </c>
      <c r="C17" s="1" t="n">
        <v>3</v>
      </c>
      <c r="F17" s="1" t="n">
        <v>0.1555</v>
      </c>
    </row>
    <row r="18" customFormat="false" ht="12.8" hidden="false" customHeight="false" outlineLevel="0" collapsed="false">
      <c r="A18" s="2" t="s">
        <v>12</v>
      </c>
      <c r="B18" s="2" t="s">
        <v>13</v>
      </c>
      <c r="C18" s="1" t="n">
        <v>6</v>
      </c>
      <c r="F18" s="1" t="n">
        <v>0.1467</v>
      </c>
    </row>
    <row r="19" customFormat="false" ht="12.8" hidden="false" customHeight="false" outlineLevel="0" collapsed="false">
      <c r="A19" s="2" t="s">
        <v>12</v>
      </c>
      <c r="B19" s="2" t="s">
        <v>13</v>
      </c>
      <c r="C19" s="1" t="n">
        <v>9</v>
      </c>
      <c r="F19" s="1" t="n">
        <v>0.1483</v>
      </c>
    </row>
    <row r="20" customFormat="false" ht="12.8" hidden="false" customHeight="false" outlineLevel="0" collapsed="false">
      <c r="A20" s="2" t="s">
        <v>12</v>
      </c>
      <c r="B20" s="2" t="s">
        <v>13</v>
      </c>
      <c r="C20" s="1" t="n">
        <v>12</v>
      </c>
      <c r="F20" s="1" t="n">
        <v>0.1483</v>
      </c>
    </row>
    <row r="21" customFormat="false" ht="12.8" hidden="false" customHeight="false" outlineLevel="0" collapsed="false">
      <c r="A21" s="2" t="s">
        <v>12</v>
      </c>
      <c r="B21" s="2" t="s">
        <v>13</v>
      </c>
      <c r="C21" s="1" t="n">
        <v>15</v>
      </c>
      <c r="F21" s="1" t="n">
        <v>0.1483</v>
      </c>
    </row>
    <row r="22" customFormat="false" ht="12.8" hidden="false" customHeight="false" outlineLevel="0" collapsed="false">
      <c r="A22" s="2" t="s">
        <v>14</v>
      </c>
      <c r="B22" s="2" t="s">
        <v>15</v>
      </c>
      <c r="C22" s="1" t="n">
        <v>3</v>
      </c>
      <c r="F22" s="1" t="n">
        <v>0.145</v>
      </c>
    </row>
    <row r="23" customFormat="false" ht="12.8" hidden="false" customHeight="false" outlineLevel="0" collapsed="false">
      <c r="A23" s="2" t="s">
        <v>14</v>
      </c>
      <c r="B23" s="2" t="s">
        <v>15</v>
      </c>
      <c r="C23" s="1" t="n">
        <v>6</v>
      </c>
      <c r="F23" s="1" t="n">
        <v>0.145</v>
      </c>
    </row>
    <row r="24" customFormat="false" ht="12.8" hidden="false" customHeight="false" outlineLevel="0" collapsed="false">
      <c r="A24" s="2" t="s">
        <v>14</v>
      </c>
      <c r="B24" s="2" t="s">
        <v>15</v>
      </c>
      <c r="C24" s="1" t="n">
        <v>9</v>
      </c>
      <c r="F24" s="1" t="n">
        <v>0.1467</v>
      </c>
    </row>
    <row r="25" customFormat="false" ht="12.8" hidden="false" customHeight="false" outlineLevel="0" collapsed="false">
      <c r="A25" s="2" t="s">
        <v>14</v>
      </c>
      <c r="B25" s="2" t="s">
        <v>15</v>
      </c>
      <c r="C25" s="1" t="n">
        <v>12</v>
      </c>
      <c r="F25" s="1" t="n">
        <v>0.1467</v>
      </c>
    </row>
    <row r="26" customFormat="false" ht="12.8" hidden="false" customHeight="false" outlineLevel="0" collapsed="false">
      <c r="A26" s="2" t="s">
        <v>14</v>
      </c>
      <c r="B26" s="2" t="s">
        <v>15</v>
      </c>
      <c r="C26" s="1" t="n">
        <v>15</v>
      </c>
      <c r="F26" s="1" t="n">
        <v>0.1467</v>
      </c>
    </row>
    <row r="27" customFormat="false" ht="12.8" hidden="false" customHeight="false" outlineLevel="0" collapsed="false">
      <c r="A27" s="2" t="s">
        <v>16</v>
      </c>
      <c r="B27" s="2" t="s">
        <v>17</v>
      </c>
      <c r="C27" s="1" t="n">
        <v>3</v>
      </c>
      <c r="F27" s="1" t="n">
        <v>0.1531</v>
      </c>
    </row>
    <row r="28" customFormat="false" ht="12.8" hidden="false" customHeight="false" outlineLevel="0" collapsed="false">
      <c r="A28" s="2" t="s">
        <v>16</v>
      </c>
      <c r="B28" s="2" t="s">
        <v>17</v>
      </c>
      <c r="C28" s="1" t="n">
        <v>6</v>
      </c>
      <c r="F28" s="1" t="n">
        <v>0.1531</v>
      </c>
    </row>
    <row r="29" customFormat="false" ht="12.8" hidden="false" customHeight="false" outlineLevel="0" collapsed="false">
      <c r="A29" s="2" t="s">
        <v>16</v>
      </c>
      <c r="B29" s="2" t="s">
        <v>17</v>
      </c>
      <c r="C29" s="1" t="n">
        <v>9</v>
      </c>
      <c r="F29" s="1" t="n">
        <v>0.1562</v>
      </c>
    </row>
    <row r="30" customFormat="false" ht="12.8" hidden="false" customHeight="false" outlineLevel="0" collapsed="false">
      <c r="A30" s="2" t="s">
        <v>16</v>
      </c>
      <c r="B30" s="2" t="s">
        <v>17</v>
      </c>
      <c r="C30" s="1" t="n">
        <v>12</v>
      </c>
      <c r="F30" s="1" t="n">
        <v>0.1562</v>
      </c>
    </row>
    <row r="31" customFormat="false" ht="12.8" hidden="false" customHeight="false" outlineLevel="0" collapsed="false">
      <c r="A31" s="2" t="s">
        <v>16</v>
      </c>
      <c r="B31" s="2" t="s">
        <v>17</v>
      </c>
      <c r="C31" s="1" t="n">
        <v>15</v>
      </c>
      <c r="F31" s="1" t="n">
        <v>0.1562</v>
      </c>
    </row>
    <row r="32" customFormat="false" ht="12.8" hidden="false" customHeight="false" outlineLevel="0" collapsed="false">
      <c r="A32" s="2" t="s">
        <v>18</v>
      </c>
      <c r="B32" s="2" t="s">
        <v>19</v>
      </c>
      <c r="C32" s="1" t="n">
        <v>3</v>
      </c>
      <c r="F32" s="1" t="n">
        <v>0.1524</v>
      </c>
    </row>
    <row r="33" customFormat="false" ht="12.8" hidden="false" customHeight="false" outlineLevel="0" collapsed="false">
      <c r="A33" s="2" t="s">
        <v>18</v>
      </c>
      <c r="B33" s="2" t="s">
        <v>19</v>
      </c>
      <c r="C33" s="1" t="n">
        <v>6</v>
      </c>
      <c r="F33" s="1" t="n">
        <v>0.1524</v>
      </c>
    </row>
    <row r="34" customFormat="false" ht="12.8" hidden="false" customHeight="false" outlineLevel="0" collapsed="false">
      <c r="A34" s="2" t="s">
        <v>18</v>
      </c>
      <c r="B34" s="2" t="s">
        <v>19</v>
      </c>
      <c r="C34" s="1" t="n">
        <v>9</v>
      </c>
      <c r="F34" s="1" t="n">
        <v>0.1555</v>
      </c>
    </row>
    <row r="35" customFormat="false" ht="12.8" hidden="false" customHeight="false" outlineLevel="0" collapsed="false">
      <c r="A35" s="2" t="s">
        <v>18</v>
      </c>
      <c r="B35" s="2" t="s">
        <v>19</v>
      </c>
      <c r="C35" s="1" t="n">
        <v>12</v>
      </c>
      <c r="F35" s="1" t="n">
        <v>0.1555</v>
      </c>
    </row>
    <row r="36" customFormat="false" ht="12.8" hidden="false" customHeight="false" outlineLevel="0" collapsed="false">
      <c r="A36" s="2" t="s">
        <v>18</v>
      </c>
      <c r="B36" s="2" t="s">
        <v>19</v>
      </c>
      <c r="C36" s="1" t="n">
        <v>15</v>
      </c>
      <c r="F36" s="1" t="n">
        <v>0.1555</v>
      </c>
    </row>
    <row r="37" customFormat="false" ht="12.8" hidden="false" customHeight="false" outlineLevel="0" collapsed="false">
      <c r="A37" s="2" t="s">
        <v>20</v>
      </c>
      <c r="B37" s="2" t="s">
        <v>21</v>
      </c>
      <c r="C37" s="1" t="n">
        <v>3</v>
      </c>
      <c r="F37" s="1" t="n">
        <v>0.1546</v>
      </c>
    </row>
    <row r="38" customFormat="false" ht="12.8" hidden="false" customHeight="false" outlineLevel="0" collapsed="false">
      <c r="A38" s="2" t="s">
        <v>20</v>
      </c>
      <c r="B38" s="2" t="s">
        <v>21</v>
      </c>
      <c r="C38" s="1" t="n">
        <v>6</v>
      </c>
      <c r="F38" s="1" t="n">
        <v>0.1546</v>
      </c>
    </row>
    <row r="39" customFormat="false" ht="12.8" hidden="false" customHeight="false" outlineLevel="0" collapsed="false">
      <c r="A39" s="2" t="s">
        <v>20</v>
      </c>
      <c r="B39" s="2" t="s">
        <v>21</v>
      </c>
      <c r="C39" s="1" t="n">
        <v>9</v>
      </c>
      <c r="F39" s="1" t="n">
        <v>0.1587</v>
      </c>
    </row>
    <row r="40" customFormat="false" ht="12.8" hidden="false" customHeight="false" outlineLevel="0" collapsed="false">
      <c r="A40" s="2" t="s">
        <v>20</v>
      </c>
      <c r="B40" s="2" t="s">
        <v>21</v>
      </c>
      <c r="C40" s="1" t="n">
        <v>12</v>
      </c>
      <c r="F40" s="1" t="n">
        <v>0.1587</v>
      </c>
    </row>
    <row r="41" customFormat="false" ht="12.8" hidden="false" customHeight="false" outlineLevel="0" collapsed="false">
      <c r="A41" s="2" t="s">
        <v>20</v>
      </c>
      <c r="B41" s="2" t="s">
        <v>21</v>
      </c>
      <c r="C41" s="1" t="n">
        <v>15</v>
      </c>
      <c r="F41" s="1" t="n">
        <v>0.1587</v>
      </c>
    </row>
    <row r="42" customFormat="false" ht="12.8" hidden="false" customHeight="false" outlineLevel="0" collapsed="false">
      <c r="A42" s="2" t="s">
        <v>22</v>
      </c>
      <c r="B42" s="2" t="s">
        <v>23</v>
      </c>
      <c r="C42" s="1" t="n">
        <v>3</v>
      </c>
      <c r="E42" s="1" t="n">
        <f aca="false">12*8.59</f>
        <v>103.08</v>
      </c>
      <c r="F42" s="1" t="n">
        <v>0.15566</v>
      </c>
    </row>
    <row r="43" customFormat="false" ht="12.8" hidden="false" customHeight="false" outlineLevel="0" collapsed="false">
      <c r="A43" s="2" t="s">
        <v>22</v>
      </c>
      <c r="B43" s="2" t="s">
        <v>23</v>
      </c>
      <c r="C43" s="1" t="n">
        <v>6</v>
      </c>
      <c r="E43" s="1" t="n">
        <f aca="false">12*10.66</f>
        <v>127.92</v>
      </c>
      <c r="F43" s="1" t="n">
        <v>0.15566</v>
      </c>
    </row>
    <row r="44" customFormat="false" ht="12.8" hidden="false" customHeight="false" outlineLevel="0" collapsed="false">
      <c r="A44" s="2" t="s">
        <v>22</v>
      </c>
      <c r="B44" s="2" t="s">
        <v>23</v>
      </c>
      <c r="C44" s="1" t="n">
        <v>9</v>
      </c>
      <c r="E44" s="1" t="n">
        <f aca="false">12*12.72</f>
        <v>152.64</v>
      </c>
      <c r="F44" s="1" t="n">
        <v>0.15974</v>
      </c>
    </row>
    <row r="45" customFormat="false" ht="12.8" hidden="false" customHeight="false" outlineLevel="0" collapsed="false">
      <c r="A45" s="2" t="s">
        <v>22</v>
      </c>
      <c r="B45" s="2" t="s">
        <v>23</v>
      </c>
      <c r="C45" s="1" t="n">
        <v>12</v>
      </c>
      <c r="E45" s="1" t="n">
        <f aca="false">12*14.79</f>
        <v>177.48</v>
      </c>
      <c r="F45" s="1" t="n">
        <v>0.15974</v>
      </c>
    </row>
    <row r="46" customFormat="false" ht="12.8" hidden="false" customHeight="false" outlineLevel="0" collapsed="false">
      <c r="A46" s="2" t="s">
        <v>22</v>
      </c>
      <c r="B46" s="2" t="s">
        <v>23</v>
      </c>
      <c r="C46" s="1" t="n">
        <v>15</v>
      </c>
      <c r="E46" s="1" t="n">
        <f aca="false">12*16.79</f>
        <v>201.48</v>
      </c>
      <c r="F46" s="1" t="n">
        <v>0.15974</v>
      </c>
    </row>
    <row r="47" customFormat="false" ht="12.8" hidden="false" customHeight="false" outlineLevel="0" collapsed="false">
      <c r="A47" s="2" t="s">
        <v>24</v>
      </c>
      <c r="B47" s="2" t="s">
        <v>25</v>
      </c>
      <c r="C47" s="1" t="n">
        <v>3</v>
      </c>
      <c r="F47" s="1" t="n">
        <v>0.1582</v>
      </c>
    </row>
    <row r="48" customFormat="false" ht="12.8" hidden="false" customHeight="false" outlineLevel="0" collapsed="false">
      <c r="A48" s="2" t="s">
        <v>24</v>
      </c>
      <c r="B48" s="2" t="s">
        <v>25</v>
      </c>
      <c r="C48" s="1" t="n">
        <v>6</v>
      </c>
      <c r="F48" s="1" t="n">
        <v>0.1582</v>
      </c>
    </row>
    <row r="49" customFormat="false" ht="12.8" hidden="false" customHeight="false" outlineLevel="0" collapsed="false">
      <c r="A49" s="2" t="s">
        <v>24</v>
      </c>
      <c r="B49" s="2" t="s">
        <v>25</v>
      </c>
      <c r="C49" s="1" t="n">
        <v>9</v>
      </c>
      <c r="F49" s="1" t="n">
        <v>0.163</v>
      </c>
    </row>
    <row r="50" customFormat="false" ht="12.8" hidden="false" customHeight="false" outlineLevel="0" collapsed="false">
      <c r="A50" s="2" t="s">
        <v>24</v>
      </c>
      <c r="B50" s="2" t="s">
        <v>25</v>
      </c>
      <c r="C50" s="1" t="n">
        <v>12</v>
      </c>
      <c r="F50" s="1" t="n">
        <v>0.163</v>
      </c>
    </row>
    <row r="51" customFormat="false" ht="12.8" hidden="false" customHeight="false" outlineLevel="0" collapsed="false">
      <c r="A51" s="2" t="s">
        <v>24</v>
      </c>
      <c r="B51" s="2" t="s">
        <v>25</v>
      </c>
      <c r="C51" s="1" t="n">
        <v>15</v>
      </c>
      <c r="F51" s="1" t="n">
        <v>0.163</v>
      </c>
    </row>
    <row r="52" customFormat="false" ht="12.8" hidden="false" customHeight="false" outlineLevel="0" collapsed="false">
      <c r="A52" s="2" t="s">
        <v>26</v>
      </c>
      <c r="B52" s="2" t="s">
        <v>27</v>
      </c>
      <c r="C52" s="1" t="n">
        <v>3</v>
      </c>
      <c r="E52" s="1" t="n">
        <f aca="false">12*8.75</f>
        <v>105</v>
      </c>
      <c r="F52" s="1" t="n">
        <v>0.15581</v>
      </c>
    </row>
    <row r="53" customFormat="false" ht="12.8" hidden="false" customHeight="false" outlineLevel="0" collapsed="false">
      <c r="A53" s="2" t="s">
        <v>26</v>
      </c>
      <c r="B53" s="2" t="s">
        <v>27</v>
      </c>
      <c r="C53" s="1" t="n">
        <v>6</v>
      </c>
      <c r="E53" s="1" t="n">
        <f aca="false">12*11.48</f>
        <v>137.76</v>
      </c>
      <c r="F53" s="1" t="n">
        <v>0.15581</v>
      </c>
    </row>
    <row r="54" customFormat="false" ht="12.8" hidden="false" customHeight="false" outlineLevel="0" collapsed="false">
      <c r="A54" s="2" t="s">
        <v>26</v>
      </c>
      <c r="B54" s="2" t="s">
        <v>27</v>
      </c>
      <c r="C54" s="1" t="n">
        <v>9</v>
      </c>
      <c r="E54" s="1" t="n">
        <f aca="false">12*14.28</f>
        <v>171.36</v>
      </c>
      <c r="F54" s="1" t="n">
        <v>0.16049</v>
      </c>
    </row>
    <row r="55" customFormat="false" ht="12.8" hidden="false" customHeight="false" outlineLevel="0" collapsed="false">
      <c r="A55" s="2" t="s">
        <v>26</v>
      </c>
      <c r="B55" s="2" t="s">
        <v>27</v>
      </c>
      <c r="C55" s="1" t="n">
        <v>12</v>
      </c>
      <c r="E55" s="1" t="n">
        <f aca="false">12*17.13</f>
        <v>205.56</v>
      </c>
      <c r="F55" s="1" t="n">
        <v>0.16049</v>
      </c>
    </row>
    <row r="56" customFormat="false" ht="12.8" hidden="false" customHeight="false" outlineLevel="0" collapsed="false">
      <c r="A56" s="2" t="s">
        <v>26</v>
      </c>
      <c r="B56" s="2" t="s">
        <v>27</v>
      </c>
      <c r="C56" s="1" t="n">
        <v>15</v>
      </c>
      <c r="E56" s="1" t="n">
        <f aca="false">12*19.81</f>
        <v>237.72</v>
      </c>
      <c r="F56" s="1" t="n">
        <v>0.16049</v>
      </c>
    </row>
    <row r="57" customFormat="false" ht="12.8" hidden="false" customHeight="false" outlineLevel="0" collapsed="false">
      <c r="A57" s="2" t="s">
        <v>26</v>
      </c>
      <c r="B57" s="2" t="s">
        <v>27</v>
      </c>
      <c r="C57" s="1" t="n">
        <v>3</v>
      </c>
      <c r="F57" s="1" t="n">
        <v>0.174</v>
      </c>
    </row>
    <row r="58" customFormat="false" ht="12.8" hidden="false" customHeight="false" outlineLevel="0" collapsed="false">
      <c r="A58" s="2" t="s">
        <v>28</v>
      </c>
      <c r="B58" s="2" t="s">
        <v>29</v>
      </c>
      <c r="C58" s="1" t="n">
        <v>6</v>
      </c>
      <c r="F58" s="1" t="n">
        <v>0.174</v>
      </c>
    </row>
    <row r="59" customFormat="false" ht="12.8" hidden="false" customHeight="false" outlineLevel="0" collapsed="false">
      <c r="A59" s="2" t="s">
        <v>28</v>
      </c>
      <c r="B59" s="2" t="s">
        <v>29</v>
      </c>
      <c r="C59" s="1" t="n">
        <v>9</v>
      </c>
      <c r="F59" s="1" t="n">
        <v>0.174</v>
      </c>
    </row>
    <row r="60" customFormat="false" ht="12.8" hidden="false" customHeight="false" outlineLevel="0" collapsed="false">
      <c r="A60" s="2" t="s">
        <v>28</v>
      </c>
      <c r="B60" s="2" t="s">
        <v>29</v>
      </c>
      <c r="C60" s="1" t="n">
        <v>12</v>
      </c>
      <c r="F60" s="1" t="n">
        <v>0.174</v>
      </c>
    </row>
    <row r="61" customFormat="false" ht="12.8" hidden="false" customHeight="false" outlineLevel="0" collapsed="false">
      <c r="A61" s="2" t="s">
        <v>28</v>
      </c>
      <c r="B61" s="2" t="s">
        <v>29</v>
      </c>
      <c r="C61" s="1" t="n">
        <v>15</v>
      </c>
      <c r="F61" s="1" t="n">
        <v>0.174</v>
      </c>
    </row>
    <row r="62" customFormat="false" ht="12.8" hidden="false" customHeight="false" outlineLevel="0" collapsed="false">
      <c r="A62" s="2" t="s">
        <v>30</v>
      </c>
      <c r="B62" s="2" t="s">
        <v>31</v>
      </c>
      <c r="C62" s="1" t="n">
        <v>3</v>
      </c>
      <c r="F62" s="1" t="n">
        <v>0.174</v>
      </c>
    </row>
    <row r="63" customFormat="false" ht="12.8" hidden="false" customHeight="false" outlineLevel="0" collapsed="false">
      <c r="A63" s="2" t="s">
        <v>30</v>
      </c>
      <c r="B63" s="2" t="s">
        <v>31</v>
      </c>
      <c r="C63" s="1" t="n">
        <v>6</v>
      </c>
      <c r="F63" s="1" t="n">
        <v>0.174</v>
      </c>
    </row>
    <row r="64" customFormat="false" ht="12.8" hidden="false" customHeight="false" outlineLevel="0" collapsed="false">
      <c r="A64" s="2" t="s">
        <v>30</v>
      </c>
      <c r="B64" s="2" t="s">
        <v>31</v>
      </c>
      <c r="C64" s="1" t="n">
        <v>9</v>
      </c>
      <c r="F64" s="1" t="n">
        <v>0.174</v>
      </c>
    </row>
    <row r="65" customFormat="false" ht="12.8" hidden="false" customHeight="false" outlineLevel="0" collapsed="false">
      <c r="A65" s="2" t="s">
        <v>30</v>
      </c>
      <c r="B65" s="2" t="s">
        <v>31</v>
      </c>
      <c r="C65" s="1" t="n">
        <v>12</v>
      </c>
      <c r="F65" s="1" t="n">
        <v>0.174</v>
      </c>
    </row>
    <row r="66" customFormat="false" ht="12.8" hidden="false" customHeight="false" outlineLevel="0" collapsed="false">
      <c r="A66" s="2" t="s">
        <v>30</v>
      </c>
      <c r="B66" s="2" t="s">
        <v>31</v>
      </c>
      <c r="C66" s="1" t="n">
        <v>15</v>
      </c>
      <c r="F66" s="1" t="n">
        <v>0.174</v>
      </c>
    </row>
    <row r="67" customFormat="false" ht="12.8" hidden="false" customHeight="false" outlineLevel="0" collapsed="false">
      <c r="A67" s="2" t="s">
        <v>32</v>
      </c>
      <c r="B67" s="2" t="s">
        <v>33</v>
      </c>
      <c r="C67" s="1" t="n">
        <v>3</v>
      </c>
      <c r="F67" s="1" t="n">
        <v>0.2062</v>
      </c>
    </row>
    <row r="68" customFormat="false" ht="12.8" hidden="false" customHeight="false" outlineLevel="0" collapsed="false">
      <c r="A68" s="2" t="s">
        <v>32</v>
      </c>
      <c r="B68" s="2" t="s">
        <v>33</v>
      </c>
      <c r="C68" s="1" t="n">
        <v>6</v>
      </c>
      <c r="F68" s="1" t="n">
        <v>0.2062</v>
      </c>
    </row>
    <row r="69" customFormat="false" ht="12.8" hidden="false" customHeight="false" outlineLevel="0" collapsed="false">
      <c r="A69" s="2" t="s">
        <v>32</v>
      </c>
      <c r="B69" s="2" t="s">
        <v>33</v>
      </c>
      <c r="C69" s="1" t="n">
        <v>9</v>
      </c>
      <c r="F69" s="1" t="n">
        <v>0.2062</v>
      </c>
    </row>
    <row r="70" customFormat="false" ht="12.8" hidden="false" customHeight="false" outlineLevel="0" collapsed="false">
      <c r="A70" s="2" t="s">
        <v>32</v>
      </c>
      <c r="B70" s="2" t="s">
        <v>33</v>
      </c>
      <c r="C70" s="1" t="n">
        <v>12</v>
      </c>
      <c r="F70" s="1" t="n">
        <v>0.2062</v>
      </c>
    </row>
    <row r="71" customFormat="false" ht="12.8" hidden="false" customHeight="false" outlineLevel="0" collapsed="false">
      <c r="A71" s="2" t="s">
        <v>32</v>
      </c>
      <c r="B71" s="2" t="s">
        <v>33</v>
      </c>
      <c r="C71" s="1" t="n">
        <v>15</v>
      </c>
      <c r="F71" s="1" t="n">
        <v>0.2062</v>
      </c>
    </row>
    <row r="72" customFormat="false" ht="12.8" hidden="false" customHeight="false" outlineLevel="0" collapsed="false">
      <c r="A72" s="2" t="s">
        <v>34</v>
      </c>
      <c r="B72" s="2" t="s">
        <v>35</v>
      </c>
      <c r="C72" s="1" t="n">
        <v>3</v>
      </c>
      <c r="F72" s="1" t="n">
        <v>0.2276</v>
      </c>
    </row>
    <row r="73" customFormat="false" ht="12.8" hidden="false" customHeight="false" outlineLevel="0" collapsed="false">
      <c r="A73" s="2" t="s">
        <v>34</v>
      </c>
      <c r="B73" s="2" t="s">
        <v>35</v>
      </c>
      <c r="C73" s="1" t="n">
        <v>6</v>
      </c>
      <c r="F73" s="1" t="n">
        <v>0.2276</v>
      </c>
    </row>
    <row r="74" customFormat="false" ht="12.8" hidden="false" customHeight="false" outlineLevel="0" collapsed="false">
      <c r="A74" s="2" t="s">
        <v>34</v>
      </c>
      <c r="B74" s="2" t="s">
        <v>35</v>
      </c>
      <c r="C74" s="1" t="n">
        <v>9</v>
      </c>
      <c r="F74" s="1" t="n">
        <v>0.2276</v>
      </c>
    </row>
    <row r="75" customFormat="false" ht="12.8" hidden="false" customHeight="false" outlineLevel="0" collapsed="false">
      <c r="A75" s="2" t="s">
        <v>34</v>
      </c>
      <c r="B75" s="2" t="s">
        <v>35</v>
      </c>
      <c r="C75" s="1" t="n">
        <v>12</v>
      </c>
      <c r="F75" s="1" t="n">
        <v>0.2276</v>
      </c>
    </row>
    <row r="76" customFormat="false" ht="12.8" hidden="false" customHeight="false" outlineLevel="0" collapsed="false">
      <c r="A76" s="2" t="s">
        <v>34</v>
      </c>
      <c r="B76" s="2" t="s">
        <v>35</v>
      </c>
      <c r="C76" s="1" t="n">
        <v>15</v>
      </c>
      <c r="F76" s="1" t="n">
        <v>0.2276</v>
      </c>
    </row>
    <row r="77" customFormat="false" ht="12.8" hidden="false" customHeight="false" outlineLevel="0" collapsed="false">
      <c r="A77" s="2" t="s">
        <v>36</v>
      </c>
      <c r="B77" s="2" t="s">
        <v>37</v>
      </c>
      <c r="C77" s="1" t="n">
        <v>3</v>
      </c>
      <c r="E77" s="1" t="n">
        <f aca="false">12*9.69</f>
        <v>116.28</v>
      </c>
      <c r="F77" s="1" t="n">
        <v>0.25164</v>
      </c>
    </row>
    <row r="78" customFormat="false" ht="12.8" hidden="false" customHeight="false" outlineLevel="0" collapsed="false">
      <c r="A78" s="2" t="s">
        <v>36</v>
      </c>
      <c r="B78" s="2" t="s">
        <v>37</v>
      </c>
      <c r="C78" s="1" t="n">
        <v>6</v>
      </c>
      <c r="E78" s="1" t="n">
        <f aca="false">12*12.71</f>
        <v>152.52</v>
      </c>
      <c r="F78" s="1" t="n">
        <v>0.25164</v>
      </c>
    </row>
    <row r="79" customFormat="false" ht="12.8" hidden="false" customHeight="false" outlineLevel="0" collapsed="false">
      <c r="A79" s="2" t="s">
        <v>36</v>
      </c>
      <c r="B79" s="2" t="s">
        <v>37</v>
      </c>
      <c r="C79" s="1" t="n">
        <v>9</v>
      </c>
      <c r="E79" s="1" t="n">
        <f aca="false">12*15.96</f>
        <v>191.52</v>
      </c>
      <c r="F79" s="1" t="n">
        <v>0.25164</v>
      </c>
    </row>
    <row r="80" customFormat="false" ht="12.8" hidden="false" customHeight="false" outlineLevel="0" collapsed="false">
      <c r="A80" s="2" t="s">
        <v>36</v>
      </c>
      <c r="B80" s="2" t="s">
        <v>37</v>
      </c>
      <c r="C80" s="1" t="n">
        <v>12</v>
      </c>
      <c r="E80" s="1" t="n">
        <f aca="false">12*19.27</f>
        <v>231.24</v>
      </c>
      <c r="F80" s="1" t="n">
        <v>0.25164</v>
      </c>
    </row>
    <row r="81" customFormat="false" ht="12.8" hidden="false" customHeight="false" outlineLevel="0" collapsed="false">
      <c r="A81" s="2" t="s">
        <v>36</v>
      </c>
      <c r="B81" s="2" t="s">
        <v>37</v>
      </c>
      <c r="C81" s="1" t="n">
        <v>15</v>
      </c>
      <c r="E81" s="1" t="n">
        <f aca="false">12*22.35</f>
        <v>268.2</v>
      </c>
      <c r="F81" s="1" t="n">
        <v>0.25164</v>
      </c>
    </row>
    <row r="82" customFormat="false" ht="12.8" hidden="false" customHeight="false" outlineLevel="0" collapsed="false">
      <c r="A82" s="2" t="s">
        <v>38</v>
      </c>
      <c r="B82" s="2" t="s">
        <v>39</v>
      </c>
      <c r="C82" s="1" t="n">
        <v>3</v>
      </c>
      <c r="E82" s="1" t="n">
        <f aca="false">12*10.48</f>
        <v>125.76</v>
      </c>
      <c r="F82" s="1" t="n">
        <v>0.2016</v>
      </c>
    </row>
    <row r="83" customFormat="false" ht="12.8" hidden="false" customHeight="false" outlineLevel="0" collapsed="false">
      <c r="A83" s="2" t="s">
        <v>38</v>
      </c>
      <c r="B83" s="2" t="s">
        <v>39</v>
      </c>
      <c r="C83" s="1" t="n">
        <v>6</v>
      </c>
      <c r="E83" s="1" t="n">
        <f aca="false">12*13.86</f>
        <v>166.32</v>
      </c>
      <c r="F83" s="1" t="n">
        <v>0.2016</v>
      </c>
    </row>
    <row r="84" customFormat="false" ht="12.8" hidden="false" customHeight="false" outlineLevel="0" collapsed="false">
      <c r="A84" s="2" t="s">
        <v>40</v>
      </c>
      <c r="B84" s="2" t="s">
        <v>41</v>
      </c>
      <c r="C84" s="1" t="n">
        <v>3</v>
      </c>
      <c r="E84" s="1" t="n">
        <f aca="false">12*11.79</f>
        <v>141.48</v>
      </c>
      <c r="F84" s="1" t="n">
        <v>0.19522</v>
      </c>
    </row>
    <row r="85" customFormat="false" ht="12.8" hidden="false" customHeight="false" outlineLevel="0" collapsed="false">
      <c r="A85" s="2" t="s">
        <v>40</v>
      </c>
      <c r="B85" s="2" t="s">
        <v>41</v>
      </c>
      <c r="C85" s="1" t="n">
        <v>6</v>
      </c>
      <c r="E85" s="1" t="n">
        <f aca="false">12*15.59</f>
        <v>187.08</v>
      </c>
      <c r="F85" s="1" t="n">
        <v>0.19522</v>
      </c>
    </row>
    <row r="86" customFormat="false" ht="12.8" hidden="false" customHeight="false" outlineLevel="0" collapsed="false">
      <c r="A86" s="2" t="s">
        <v>40</v>
      </c>
      <c r="B86" s="2" t="s">
        <v>41</v>
      </c>
      <c r="C86" s="1" t="n">
        <v>9</v>
      </c>
      <c r="E86" s="1" t="n">
        <f aca="false">12*19.58</f>
        <v>234.96</v>
      </c>
      <c r="F86" s="1" t="n">
        <v>0.19522</v>
      </c>
    </row>
    <row r="87" customFormat="false" ht="12.8" hidden="false" customHeight="false" outlineLevel="0" collapsed="false">
      <c r="A87" s="2" t="s">
        <v>40</v>
      </c>
      <c r="B87" s="2" t="s">
        <v>41</v>
      </c>
      <c r="C87" s="1" t="n">
        <v>12</v>
      </c>
      <c r="E87" s="1" t="n">
        <f aca="false">12*23.58</f>
        <v>282.96</v>
      </c>
      <c r="F87" s="1" t="n">
        <v>0.19522</v>
      </c>
    </row>
    <row r="88" customFormat="false" ht="12.8" hidden="false" customHeight="false" outlineLevel="0" collapsed="false">
      <c r="A88" s="2" t="s">
        <v>40</v>
      </c>
      <c r="B88" s="2" t="s">
        <v>41</v>
      </c>
      <c r="C88" s="1" t="n">
        <v>15</v>
      </c>
      <c r="E88" s="1" t="n">
        <f aca="false">12*27.38</f>
        <v>328.56</v>
      </c>
      <c r="F88" s="1" t="n">
        <v>0.19522</v>
      </c>
    </row>
    <row r="89" customFormat="false" ht="12.8" hidden="false" customHeight="false" outlineLevel="0" collapsed="false">
      <c r="A89" s="2" t="s">
        <v>40</v>
      </c>
      <c r="B89" s="2" t="s">
        <v>41</v>
      </c>
      <c r="C89" s="1" t="n">
        <v>18</v>
      </c>
      <c r="E89" s="1" t="n">
        <f aca="false">12*31.14</f>
        <v>373.68</v>
      </c>
      <c r="F89" s="1" t="n">
        <v>0.19522</v>
      </c>
    </row>
    <row r="90" customFormat="false" ht="12.8" hidden="false" customHeight="false" outlineLevel="0" collapsed="false">
      <c r="A90" s="2" t="s">
        <v>40</v>
      </c>
      <c r="B90" s="2" t="s">
        <v>41</v>
      </c>
      <c r="C90" s="1" t="n">
        <v>24</v>
      </c>
      <c r="E90" s="1" t="n">
        <f aca="false">12*39.29</f>
        <v>471.48</v>
      </c>
      <c r="F90" s="1" t="n">
        <v>0.19522</v>
      </c>
    </row>
    <row r="91" customFormat="false" ht="12.8" hidden="false" customHeight="false" outlineLevel="0" collapsed="false">
      <c r="A91" s="2" t="s">
        <v>40</v>
      </c>
      <c r="B91" s="2" t="s">
        <v>41</v>
      </c>
      <c r="C91" s="1" t="n">
        <v>30</v>
      </c>
      <c r="E91" s="1" t="n">
        <f aca="false">12*47.07</f>
        <v>564.84</v>
      </c>
      <c r="F91" s="1" t="n">
        <v>0.19522</v>
      </c>
    </row>
    <row r="92" customFormat="false" ht="12.8" hidden="false" customHeight="false" outlineLevel="0" collapsed="false">
      <c r="A92" s="2" t="s">
        <v>40</v>
      </c>
      <c r="B92" s="2" t="s">
        <v>41</v>
      </c>
      <c r="C92" s="1" t="n">
        <v>36</v>
      </c>
      <c r="E92" s="1" t="n">
        <f aca="false">12*55.05</f>
        <v>660.6</v>
      </c>
      <c r="F92" s="1" t="n">
        <v>0.19522</v>
      </c>
    </row>
    <row r="93" customFormat="false" ht="12.8" hidden="false" customHeight="true" outlineLevel="0" collapsed="false">
      <c r="A93" s="2" t="s">
        <v>42</v>
      </c>
      <c r="B93" s="2"/>
      <c r="C93" s="1" t="n">
        <v>3</v>
      </c>
      <c r="D93" s="1" t="n">
        <v>12.07</v>
      </c>
      <c r="E93" s="1" t="n">
        <f aca="false">IF(D93="","",12*D93)</f>
        <v>144.84</v>
      </c>
      <c r="F93" s="1" t="n">
        <v>0.19398</v>
      </c>
    </row>
    <row r="94" customFormat="false" ht="12.8" hidden="false" customHeight="true" outlineLevel="0" collapsed="false">
      <c r="A94" s="2" t="s">
        <v>42</v>
      </c>
      <c r="B94" s="2"/>
      <c r="C94" s="1" t="n">
        <v>6</v>
      </c>
      <c r="D94" s="1" t="n">
        <v>15.74</v>
      </c>
      <c r="E94" s="1" t="n">
        <f aca="false">IF(D94="","",12*D94)</f>
        <v>188.88</v>
      </c>
      <c r="F94" s="1" t="n">
        <v>0.19398</v>
      </c>
    </row>
    <row r="95" customFormat="false" ht="12.8" hidden="false" customHeight="true" outlineLevel="0" collapsed="false">
      <c r="A95" s="2" t="s">
        <v>42</v>
      </c>
      <c r="B95" s="2"/>
      <c r="C95" s="1" t="n">
        <v>9</v>
      </c>
      <c r="D95" s="1" t="n">
        <v>19.69</v>
      </c>
      <c r="E95" s="1" t="n">
        <f aca="false">IF(D95="","",12*D95)</f>
        <v>236.28</v>
      </c>
      <c r="F95" s="1" t="n">
        <v>0.19266</v>
      </c>
    </row>
    <row r="96" customFormat="false" ht="12.8" hidden="false" customHeight="true" outlineLevel="0" collapsed="false">
      <c r="A96" s="2" t="s">
        <v>42</v>
      </c>
      <c r="B96" s="2"/>
      <c r="C96" s="1" t="n">
        <v>12</v>
      </c>
      <c r="D96" s="1" t="n">
        <v>23.49</v>
      </c>
      <c r="E96" s="1" t="n">
        <f aca="false">IF(D96="","",12*D96)</f>
        <v>281.88</v>
      </c>
      <c r="F96" s="1" t="n">
        <v>0.19266</v>
      </c>
    </row>
    <row r="97" customFormat="false" ht="12.8" hidden="false" customHeight="true" outlineLevel="0" collapsed="false">
      <c r="A97" s="2" t="s">
        <v>42</v>
      </c>
      <c r="B97" s="2"/>
      <c r="C97" s="1" t="n">
        <v>15</v>
      </c>
      <c r="D97" s="1" t="n">
        <v>27.06</v>
      </c>
      <c r="E97" s="1" t="n">
        <f aca="false">IF(D97="","",12*D97)</f>
        <v>324.72</v>
      </c>
      <c r="F97" s="1" t="n">
        <v>0.19266</v>
      </c>
    </row>
    <row r="98" customFormat="false" ht="12.8" hidden="false" customHeight="true" outlineLevel="0" collapsed="false">
      <c r="A98" s="2" t="s">
        <v>42</v>
      </c>
      <c r="B98" s="2"/>
      <c r="C98" s="1" t="n">
        <v>18</v>
      </c>
      <c r="D98" s="1" t="n">
        <v>30.75</v>
      </c>
      <c r="E98" s="1" t="n">
        <f aca="false">IF(D98="","",12*D98)</f>
        <v>369</v>
      </c>
      <c r="F98" s="1" t="n">
        <v>0.19266</v>
      </c>
    </row>
    <row r="99" customFormat="false" ht="12.8" hidden="false" customHeight="true" outlineLevel="0" collapsed="false">
      <c r="A99" s="2" t="s">
        <v>42</v>
      </c>
      <c r="B99" s="2"/>
      <c r="C99" s="1" t="n">
        <v>24</v>
      </c>
      <c r="D99" s="1" t="n">
        <v>38.59</v>
      </c>
      <c r="E99" s="1" t="n">
        <f aca="false">IF(D99="","",12*D99)</f>
        <v>463.08</v>
      </c>
      <c r="F99" s="1" t="n">
        <v>0.19266</v>
      </c>
    </row>
    <row r="100" customFormat="false" ht="12.8" hidden="false" customHeight="true" outlineLevel="0" collapsed="false">
      <c r="A100" s="2" t="s">
        <v>42</v>
      </c>
      <c r="B100" s="2"/>
      <c r="C100" s="1" t="n">
        <v>30</v>
      </c>
      <c r="D100" s="1" t="n">
        <v>45.8</v>
      </c>
      <c r="E100" s="1" t="n">
        <f aca="false">IF(D100="","",12*D100)</f>
        <v>549.6</v>
      </c>
      <c r="F100" s="1" t="n">
        <v>0.19266</v>
      </c>
    </row>
    <row r="101" customFormat="false" ht="12.8" hidden="false" customHeight="true" outlineLevel="0" collapsed="false">
      <c r="A101" s="2" t="s">
        <v>42</v>
      </c>
      <c r="B101" s="2"/>
      <c r="C101" s="1" t="n">
        <v>36</v>
      </c>
      <c r="D101" s="1" t="n">
        <v>53.06</v>
      </c>
      <c r="E101" s="1" t="n">
        <f aca="false">IF(D101="","",12*D101)</f>
        <v>636.72</v>
      </c>
      <c r="F101" s="1" t="n">
        <v>0.19266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73</TotalTime>
  <Application>LibreOffice/25.8.1.1$MacOSX_X86_64 LibreOffice_project/54047653041915e595ad4e45cccea684809c77b5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>Stéphane Muteau</cp:lastModifiedBy>
  <dcterms:modified xsi:type="dcterms:W3CDTF">2026-02-03T22:27:43Z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